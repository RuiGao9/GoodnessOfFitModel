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met_gfit\"/>
    </mc:Choice>
  </mc:AlternateContent>
  <xr:revisionPtr revIDLastSave="0" documentId="8_{F40C0A28-A2D5-400A-88E3-047A647F805B}" xr6:coauthVersionLast="47" xr6:coauthVersionMax="47" xr10:uidLastSave="{00000000-0000-0000-0000-000000000000}"/>
  <bookViews>
    <workbookView xWindow="-90" yWindow="0" windowWidth="23540" windowHeight="20970" xr2:uid="{F2257939-5474-46EE-9CB7-1535C93DE2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C21" i="1"/>
  <c r="B21" i="1"/>
  <c r="F13" i="1" s="1"/>
  <c r="G13" i="1" s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/>
  <c r="D18" i="1"/>
  <c r="E18" i="1" s="1"/>
  <c r="D19" i="1"/>
  <c r="E19" i="1" s="1"/>
  <c r="D20" i="1"/>
  <c r="E20" i="1" s="1"/>
  <c r="D2" i="1"/>
  <c r="E2" i="1" s="1"/>
  <c r="F6" i="1" l="1"/>
  <c r="G6" i="1" s="1"/>
  <c r="F11" i="1"/>
  <c r="G11" i="1" s="1"/>
  <c r="F9" i="1"/>
  <c r="G9" i="1" s="1"/>
  <c r="F5" i="1"/>
  <c r="G5" i="1" s="1"/>
  <c r="B22" i="1"/>
  <c r="F12" i="1"/>
  <c r="G12" i="1" s="1"/>
  <c r="F8" i="1"/>
  <c r="G8" i="1" s="1"/>
  <c r="F4" i="1"/>
  <c r="G4" i="1" s="1"/>
  <c r="F10" i="1"/>
  <c r="G10" i="1" s="1"/>
  <c r="F7" i="1"/>
  <c r="G7" i="1" s="1"/>
  <c r="F3" i="1"/>
  <c r="G3" i="1" s="1"/>
  <c r="F20" i="1"/>
  <c r="G20" i="1" s="1"/>
  <c r="F18" i="1"/>
  <c r="G18" i="1" s="1"/>
  <c r="G2" i="1"/>
  <c r="F19" i="1"/>
  <c r="G19" i="1" s="1"/>
  <c r="F17" i="1"/>
  <c r="G17" i="1" s="1"/>
  <c r="F16" i="1"/>
  <c r="G16" i="1" s="1"/>
  <c r="F15" i="1"/>
  <c r="G15" i="1" s="1"/>
  <c r="F14" i="1"/>
  <c r="G14" i="1" s="1"/>
  <c r="B23" i="1" l="1"/>
  <c r="B24" i="1" s="1"/>
  <c r="B25" i="1" s="1"/>
</calcChain>
</file>

<file path=xl/sharedStrings.xml><?xml version="1.0" encoding="utf-8"?>
<sst xmlns="http://schemas.openxmlformats.org/spreadsheetml/2006/main" count="11" uniqueCount="11">
  <si>
    <t>Prediction</t>
  </si>
  <si>
    <t>Observation</t>
  </si>
  <si>
    <t>Average</t>
  </si>
  <si>
    <t>oi-pi</t>
  </si>
  <si>
    <t>(oi-pi)2</t>
  </si>
  <si>
    <t>oi-o_bar</t>
  </si>
  <si>
    <t>(oi-o_bar)2</t>
  </si>
  <si>
    <t>SS_tot</t>
  </si>
  <si>
    <t>SS_res</t>
  </si>
  <si>
    <t>SS_res/SS_tot</t>
  </si>
  <si>
    <t>R^2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</si>
</sst>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Observation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8982294479377131E-2"/>
                  <c:y val="-6.33111694371536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Garamond" panose="020204040303010108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Sheet1!$C$2:$C$20</c:f>
              <c:numCache>
                <c:formatCode>General</c:formatCode>
                <c:ptCount val="19"/>
                <c:pt idx="0">
                  <c:v>3.6</c:v>
                </c:pt>
                <c:pt idx="1">
                  <c:v>3.7</c:v>
                </c:pt>
                <c:pt idx="2">
                  <c:v>3.8</c:v>
                </c:pt>
                <c:pt idx="3">
                  <c:v>3.9</c:v>
                </c:pt>
                <c:pt idx="4">
                  <c:v>4</c:v>
                </c:pt>
                <c:pt idx="5">
                  <c:v>4.0999999999999996</c:v>
                </c:pt>
                <c:pt idx="6">
                  <c:v>4.2</c:v>
                </c:pt>
                <c:pt idx="7">
                  <c:v>4.3</c:v>
                </c:pt>
                <c:pt idx="8">
                  <c:v>4.4000000000000004</c:v>
                </c:pt>
                <c:pt idx="9">
                  <c:v>4.5</c:v>
                </c:pt>
                <c:pt idx="10">
                  <c:v>4.5999999999999996</c:v>
                </c:pt>
                <c:pt idx="11">
                  <c:v>4.7</c:v>
                </c:pt>
                <c:pt idx="12">
                  <c:v>4.8</c:v>
                </c:pt>
                <c:pt idx="13">
                  <c:v>4.9000000000000004</c:v>
                </c:pt>
                <c:pt idx="14">
                  <c:v>5</c:v>
                </c:pt>
                <c:pt idx="15">
                  <c:v>5.0999999999999996</c:v>
                </c:pt>
                <c:pt idx="16">
                  <c:v>5.2</c:v>
                </c:pt>
                <c:pt idx="17">
                  <c:v>5.3</c:v>
                </c:pt>
                <c:pt idx="18">
                  <c:v>5.4</c:v>
                </c:pt>
              </c:numCache>
            </c:numRef>
          </c:xVal>
          <c:yVal>
            <c:numRef>
              <c:f>Sheet1!$B$2:$B$20</c:f>
              <c:numCache>
                <c:formatCode>General</c:formatCode>
                <c:ptCount val="19"/>
                <c:pt idx="0">
                  <c:v>1.2</c:v>
                </c:pt>
                <c:pt idx="1">
                  <c:v>1.3</c:v>
                </c:pt>
                <c:pt idx="2">
                  <c:v>1.4</c:v>
                </c:pt>
                <c:pt idx="3">
                  <c:v>1.5</c:v>
                </c:pt>
                <c:pt idx="4">
                  <c:v>1.6</c:v>
                </c:pt>
                <c:pt idx="5">
                  <c:v>1.7</c:v>
                </c:pt>
                <c:pt idx="6">
                  <c:v>1.8</c:v>
                </c:pt>
                <c:pt idx="7">
                  <c:v>1.9</c:v>
                </c:pt>
                <c:pt idx="8">
                  <c:v>2</c:v>
                </c:pt>
                <c:pt idx="9">
                  <c:v>2.1</c:v>
                </c:pt>
                <c:pt idx="10">
                  <c:v>2.2000000000000002</c:v>
                </c:pt>
                <c:pt idx="11">
                  <c:v>2.2999999999999998</c:v>
                </c:pt>
                <c:pt idx="12">
                  <c:v>2.4</c:v>
                </c:pt>
                <c:pt idx="13">
                  <c:v>2.5</c:v>
                </c:pt>
                <c:pt idx="14">
                  <c:v>2.6</c:v>
                </c:pt>
                <c:pt idx="15">
                  <c:v>2.7</c:v>
                </c:pt>
                <c:pt idx="16">
                  <c:v>2.8</c:v>
                </c:pt>
                <c:pt idx="17">
                  <c:v>2.9</c:v>
                </c:pt>
                <c:pt idx="1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00-496D-AE77-D205CE1EA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889456"/>
        <c:axId val="1906889936"/>
      </c:scatterChart>
      <c:valAx>
        <c:axId val="1906889456"/>
        <c:scaling>
          <c:orientation val="minMax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  <a:ea typeface="+mn-ea"/>
                    <a:cs typeface="+mn-cs"/>
                  </a:rPr>
                  <a:t>Prediction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1906889936"/>
        <c:crosses val="autoZero"/>
        <c:crossBetween val="midCat"/>
      </c:valAx>
      <c:valAx>
        <c:axId val="1906889936"/>
        <c:scaling>
          <c:orientation val="minMax"/>
          <c:max val="6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Garamond" panose="02020404030301010803" pitchFamily="18" charset="0"/>
                  </a:rPr>
                  <a:t>Observation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190688945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</xdr:colOff>
      <xdr:row>21</xdr:row>
      <xdr:rowOff>19050</xdr:rowOff>
    </xdr:from>
    <xdr:to>
      <xdr:col>8</xdr:col>
      <xdr:colOff>228600</xdr:colOff>
      <xdr:row>39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CBBD14-DEB8-0C02-8A82-215AFAFED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9F59-7086-4C1E-9CF4-907EAE1C6589}">
  <dimension ref="A1:G25"/>
  <sheetViews>
    <sheetView tabSelected="1" workbookViewId="0">
      <selection activeCell="K29" sqref="K29"/>
    </sheetView>
  </sheetViews>
  <sheetFormatPr defaultRowHeight="14.5" x14ac:dyDescent="0.35"/>
  <cols>
    <col min="1" max="1" width="11.90625" style="1" bestFit="1" customWidth="1"/>
    <col min="2" max="2" width="10.6328125" style="1" bestFit="1" customWidth="1"/>
    <col min="3" max="3" width="9.08984375" style="1" bestFit="1" customWidth="1"/>
    <col min="4" max="6" width="8.7265625" style="1"/>
    <col min="7" max="7" width="9.6328125" style="1" bestFit="1" customWidth="1"/>
  </cols>
  <sheetData>
    <row r="1" spans="2:7" x14ac:dyDescent="0.35">
      <c r="B1" s="1" t="s">
        <v>1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</row>
    <row r="2" spans="2:7" x14ac:dyDescent="0.35">
      <c r="B2" s="1">
        <v>1.2</v>
      </c>
      <c r="C2" s="1">
        <v>3.6</v>
      </c>
      <c r="D2" s="1">
        <f>B2-C2</f>
        <v>-2.4000000000000004</v>
      </c>
      <c r="E2" s="1">
        <f>D2*D2</f>
        <v>5.7600000000000016</v>
      </c>
      <c r="F2" s="1">
        <f>B2-$B$21</f>
        <v>-0.90000000000000013</v>
      </c>
      <c r="G2" s="1">
        <f>F2*F2</f>
        <v>0.81000000000000028</v>
      </c>
    </row>
    <row r="3" spans="2:7" x14ac:dyDescent="0.35">
      <c r="B3" s="1">
        <v>1.3</v>
      </c>
      <c r="C3" s="1">
        <v>3.7</v>
      </c>
      <c r="D3" s="1">
        <f>B3-C3</f>
        <v>-2.4000000000000004</v>
      </c>
      <c r="E3" s="1">
        <f t="shared" ref="E3:E20" si="0">D3*D3</f>
        <v>5.7600000000000016</v>
      </c>
      <c r="F3" s="1">
        <f>B3-$B$21</f>
        <v>-0.8</v>
      </c>
      <c r="G3" s="1">
        <f t="shared" ref="G3:G20" si="1">F3*F3</f>
        <v>0.64000000000000012</v>
      </c>
    </row>
    <row r="4" spans="2:7" x14ac:dyDescent="0.35">
      <c r="B4" s="1">
        <v>1.4</v>
      </c>
      <c r="C4" s="1">
        <v>3.8</v>
      </c>
      <c r="D4" s="1">
        <f>B4-C4</f>
        <v>-2.4</v>
      </c>
      <c r="E4" s="1">
        <f t="shared" si="0"/>
        <v>5.76</v>
      </c>
      <c r="F4" s="1">
        <f>B4-$B$21</f>
        <v>-0.70000000000000018</v>
      </c>
      <c r="G4" s="1">
        <f t="shared" si="1"/>
        <v>0.49000000000000027</v>
      </c>
    </row>
    <row r="5" spans="2:7" x14ac:dyDescent="0.35">
      <c r="B5" s="1">
        <v>1.5</v>
      </c>
      <c r="C5" s="1">
        <v>3.9</v>
      </c>
      <c r="D5" s="1">
        <f>B5-C5</f>
        <v>-2.4</v>
      </c>
      <c r="E5" s="1">
        <f t="shared" si="0"/>
        <v>5.76</v>
      </c>
      <c r="F5" s="1">
        <f>B5-$B$21</f>
        <v>-0.60000000000000009</v>
      </c>
      <c r="G5" s="1">
        <f t="shared" si="1"/>
        <v>0.3600000000000001</v>
      </c>
    </row>
    <row r="6" spans="2:7" x14ac:dyDescent="0.35">
      <c r="B6" s="1">
        <v>1.6</v>
      </c>
      <c r="C6" s="1">
        <v>4</v>
      </c>
      <c r="D6" s="1">
        <f>B6-C6</f>
        <v>-2.4</v>
      </c>
      <c r="E6" s="1">
        <f t="shared" si="0"/>
        <v>5.76</v>
      </c>
      <c r="F6" s="1">
        <f>B6-$B$21</f>
        <v>-0.5</v>
      </c>
      <c r="G6" s="1">
        <f t="shared" si="1"/>
        <v>0.25</v>
      </c>
    </row>
    <row r="7" spans="2:7" x14ac:dyDescent="0.35">
      <c r="B7" s="1">
        <v>1.7</v>
      </c>
      <c r="C7" s="1">
        <v>4.0999999999999996</v>
      </c>
      <c r="D7" s="1">
        <f>B7-C7</f>
        <v>-2.3999999999999995</v>
      </c>
      <c r="E7" s="1">
        <f t="shared" si="0"/>
        <v>5.7599999999999971</v>
      </c>
      <c r="F7" s="1">
        <f>B7-$B$21</f>
        <v>-0.40000000000000013</v>
      </c>
      <c r="G7" s="1">
        <f t="shared" si="1"/>
        <v>0.16000000000000011</v>
      </c>
    </row>
    <row r="8" spans="2:7" x14ac:dyDescent="0.35">
      <c r="B8" s="1">
        <v>1.8</v>
      </c>
      <c r="C8" s="1">
        <v>4.2</v>
      </c>
      <c r="D8" s="1">
        <f>B8-C8</f>
        <v>-2.4000000000000004</v>
      </c>
      <c r="E8" s="1">
        <f t="shared" si="0"/>
        <v>5.7600000000000016</v>
      </c>
      <c r="F8" s="1">
        <f>B8-$B$21</f>
        <v>-0.30000000000000004</v>
      </c>
      <c r="G8" s="1">
        <f t="shared" si="1"/>
        <v>9.0000000000000024E-2</v>
      </c>
    </row>
    <row r="9" spans="2:7" x14ac:dyDescent="0.35">
      <c r="B9" s="1">
        <v>1.9</v>
      </c>
      <c r="C9" s="1">
        <v>4.3</v>
      </c>
      <c r="D9" s="1">
        <f>B9-C9</f>
        <v>-2.4</v>
      </c>
      <c r="E9" s="1">
        <f t="shared" si="0"/>
        <v>5.76</v>
      </c>
      <c r="F9" s="1">
        <f>B9-$B$21</f>
        <v>-0.20000000000000018</v>
      </c>
      <c r="G9" s="1">
        <f t="shared" si="1"/>
        <v>4.000000000000007E-2</v>
      </c>
    </row>
    <row r="10" spans="2:7" x14ac:dyDescent="0.35">
      <c r="B10" s="1">
        <v>2</v>
      </c>
      <c r="C10" s="1">
        <v>4.4000000000000004</v>
      </c>
      <c r="D10" s="1">
        <f>B10-C10</f>
        <v>-2.4000000000000004</v>
      </c>
      <c r="E10" s="1">
        <f t="shared" si="0"/>
        <v>5.7600000000000016</v>
      </c>
      <c r="F10" s="1">
        <f>B10-$B$21</f>
        <v>-0.10000000000000009</v>
      </c>
      <c r="G10" s="1">
        <f t="shared" si="1"/>
        <v>1.0000000000000018E-2</v>
      </c>
    </row>
    <row r="11" spans="2:7" x14ac:dyDescent="0.35">
      <c r="B11" s="1">
        <v>2.1</v>
      </c>
      <c r="C11" s="1">
        <v>4.5</v>
      </c>
      <c r="D11" s="1">
        <f>B11-C11</f>
        <v>-2.4</v>
      </c>
      <c r="E11" s="1">
        <f t="shared" si="0"/>
        <v>5.76</v>
      </c>
      <c r="F11" s="1">
        <f>B11-$B$21</f>
        <v>0</v>
      </c>
      <c r="G11" s="1">
        <f t="shared" si="1"/>
        <v>0</v>
      </c>
    </row>
    <row r="12" spans="2:7" x14ac:dyDescent="0.35">
      <c r="B12" s="1">
        <v>2.2000000000000002</v>
      </c>
      <c r="C12" s="1">
        <v>4.5999999999999996</v>
      </c>
      <c r="D12" s="1">
        <f>B12-C12</f>
        <v>-2.3999999999999995</v>
      </c>
      <c r="E12" s="1">
        <f t="shared" si="0"/>
        <v>5.7599999999999971</v>
      </c>
      <c r="F12" s="1">
        <f>B12-$B$21</f>
        <v>0.10000000000000009</v>
      </c>
      <c r="G12" s="1">
        <f t="shared" si="1"/>
        <v>1.0000000000000018E-2</v>
      </c>
    </row>
    <row r="13" spans="2:7" x14ac:dyDescent="0.35">
      <c r="B13" s="1">
        <v>2.2999999999999998</v>
      </c>
      <c r="C13" s="1">
        <v>4.7</v>
      </c>
      <c r="D13" s="1">
        <f>B13-C13</f>
        <v>-2.4000000000000004</v>
      </c>
      <c r="E13" s="1">
        <f t="shared" si="0"/>
        <v>5.7600000000000016</v>
      </c>
      <c r="F13" s="1">
        <f>B13-$B$21</f>
        <v>0.19999999999999973</v>
      </c>
      <c r="G13" s="1">
        <f t="shared" si="1"/>
        <v>3.9999999999999897E-2</v>
      </c>
    </row>
    <row r="14" spans="2:7" x14ac:dyDescent="0.35">
      <c r="B14" s="1">
        <v>2.4</v>
      </c>
      <c r="C14" s="1">
        <v>4.8</v>
      </c>
      <c r="D14" s="1">
        <f>B14-C14</f>
        <v>-2.4</v>
      </c>
      <c r="E14" s="1">
        <f t="shared" si="0"/>
        <v>5.76</v>
      </c>
      <c r="F14" s="1">
        <f>B14-$B$21</f>
        <v>0.29999999999999982</v>
      </c>
      <c r="G14" s="1">
        <f t="shared" si="1"/>
        <v>8.99999999999999E-2</v>
      </c>
    </row>
    <row r="15" spans="2:7" x14ac:dyDescent="0.35">
      <c r="B15" s="1">
        <v>2.5</v>
      </c>
      <c r="C15" s="1">
        <v>4.9000000000000004</v>
      </c>
      <c r="D15" s="1">
        <f>B15-C15</f>
        <v>-2.4000000000000004</v>
      </c>
      <c r="E15" s="1">
        <f t="shared" si="0"/>
        <v>5.7600000000000016</v>
      </c>
      <c r="F15" s="1">
        <f>B15-$B$21</f>
        <v>0.39999999999999991</v>
      </c>
      <c r="G15" s="1">
        <f t="shared" si="1"/>
        <v>0.15999999999999992</v>
      </c>
    </row>
    <row r="16" spans="2:7" x14ac:dyDescent="0.35">
      <c r="B16" s="1">
        <v>2.6</v>
      </c>
      <c r="C16" s="1">
        <v>5</v>
      </c>
      <c r="D16" s="1">
        <f>B16-C16</f>
        <v>-2.4</v>
      </c>
      <c r="E16" s="1">
        <f t="shared" si="0"/>
        <v>5.76</v>
      </c>
      <c r="F16" s="1">
        <f>B16-$B$21</f>
        <v>0.5</v>
      </c>
      <c r="G16" s="1">
        <f t="shared" si="1"/>
        <v>0.25</v>
      </c>
    </row>
    <row r="17" spans="1:7" x14ac:dyDescent="0.35">
      <c r="B17" s="1">
        <v>2.7</v>
      </c>
      <c r="C17" s="1">
        <v>5.0999999999999996</v>
      </c>
      <c r="D17" s="1">
        <f>B17-C17</f>
        <v>-2.3999999999999995</v>
      </c>
      <c r="E17" s="1">
        <f t="shared" si="0"/>
        <v>5.7599999999999971</v>
      </c>
      <c r="F17" s="1">
        <f>B17-$B$21</f>
        <v>0.60000000000000009</v>
      </c>
      <c r="G17" s="1">
        <f t="shared" si="1"/>
        <v>0.3600000000000001</v>
      </c>
    </row>
    <row r="18" spans="1:7" x14ac:dyDescent="0.35">
      <c r="B18" s="1">
        <v>2.8</v>
      </c>
      <c r="C18" s="1">
        <v>5.2</v>
      </c>
      <c r="D18" s="1">
        <f>B18-C18</f>
        <v>-2.4000000000000004</v>
      </c>
      <c r="E18" s="1">
        <f t="shared" si="0"/>
        <v>5.7600000000000016</v>
      </c>
      <c r="F18" s="1">
        <f>B18-$B$21</f>
        <v>0.69999999999999973</v>
      </c>
      <c r="G18" s="1">
        <f t="shared" si="1"/>
        <v>0.4899999999999996</v>
      </c>
    </row>
    <row r="19" spans="1:7" x14ac:dyDescent="0.35">
      <c r="B19" s="1">
        <v>2.9</v>
      </c>
      <c r="C19" s="1">
        <v>5.3</v>
      </c>
      <c r="D19" s="1">
        <f>B19-C19</f>
        <v>-2.4</v>
      </c>
      <c r="E19" s="1">
        <f t="shared" si="0"/>
        <v>5.76</v>
      </c>
      <c r="F19" s="1">
        <f>B19-$B$21</f>
        <v>0.79999999999999982</v>
      </c>
      <c r="G19" s="1">
        <f t="shared" si="1"/>
        <v>0.63999999999999968</v>
      </c>
    </row>
    <row r="20" spans="1:7" x14ac:dyDescent="0.35">
      <c r="B20" s="1">
        <v>3</v>
      </c>
      <c r="C20" s="1">
        <v>5.4</v>
      </c>
      <c r="D20" s="1">
        <f>B20-C20</f>
        <v>-2.4000000000000004</v>
      </c>
      <c r="E20" s="1">
        <f t="shared" si="0"/>
        <v>5.7600000000000016</v>
      </c>
      <c r="F20" s="1">
        <f>B20-$B$21</f>
        <v>0.89999999999999991</v>
      </c>
      <c r="G20" s="1">
        <f t="shared" si="1"/>
        <v>0.80999999999999983</v>
      </c>
    </row>
    <row r="21" spans="1:7" x14ac:dyDescent="0.35">
      <c r="A21" s="1" t="s">
        <v>2</v>
      </c>
      <c r="B21" s="1">
        <f>AVERAGE(B2:B20)</f>
        <v>2.1</v>
      </c>
      <c r="C21" s="1">
        <f>AVERAGE(C2:C20)</f>
        <v>4.5</v>
      </c>
    </row>
    <row r="22" spans="1:7" x14ac:dyDescent="0.35">
      <c r="A22" s="1" t="s">
        <v>8</v>
      </c>
      <c r="B22" s="1">
        <f>SUM(E2:E20)</f>
        <v>109.44000000000001</v>
      </c>
    </row>
    <row r="23" spans="1:7" x14ac:dyDescent="0.35">
      <c r="A23" s="1" t="s">
        <v>7</v>
      </c>
      <c r="B23" s="1">
        <f>SUM(G2:G20)</f>
        <v>5.7</v>
      </c>
    </row>
    <row r="24" spans="1:7" x14ac:dyDescent="0.35">
      <c r="A24" s="1" t="s">
        <v>9</v>
      </c>
      <c r="B24" s="1">
        <f>B22/B23</f>
        <v>19.200000000000003</v>
      </c>
    </row>
    <row r="25" spans="1:7" x14ac:dyDescent="0.35">
      <c r="A25" s="1" t="s">
        <v>10</v>
      </c>
      <c r="B25" s="1">
        <f>1-B24</f>
        <v>-18.200000000000003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Gao</dc:creator>
  <cp:lastModifiedBy>Rui Gao</cp:lastModifiedBy>
  <dcterms:created xsi:type="dcterms:W3CDTF">2026-04-02T18:39:44Z</dcterms:created>
  <dcterms:modified xsi:type="dcterms:W3CDTF">2026-04-02T19:54:55Z</dcterms:modified>
</cp:coreProperties>
</file>